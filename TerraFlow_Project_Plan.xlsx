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hedule" sheetId="2" state="visible" r:id="rId4"/>
    <sheet name="Milestones" sheetId="3" state="visible" r:id="rId5"/>
    <sheet name="Risks" sheetId="4" state="visible" r:id="rId6"/>
    <sheet name="Cross-Cutt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<sst xmlns="http://schemas.openxmlformats.org/spreadsheetml/2006/main" count="353" uniqueCount="267">
  <si>
    <t xml:space="preserve">TerraFlow Energy — Digital Twin Program</t>
  </si>
  <si>
    <t xml:space="preserve">Project Plan &amp; Delivery Roadmap  |  Executive Summary basis</t>
  </si>
  <si>
    <t xml:space="preserve">Program objective</t>
  </si>
  <si>
    <t xml:space="preserve">Deliver a physics-accurate, NVIDIA Omniverse/DSX-compatible SimReady OpenUSD digital twin of a flow-battery system, underpinned by a PLM digital-thread that connects requirements, CAD, simulation, test, and change management.</t>
  </si>
  <si>
    <t xml:space="preserve">Delivery model</t>
  </si>
  <si>
    <t xml:space="preserve">Four dependent phases run sequentially — each phase must be accepted at its gate before the next begins — plus a short mobilization phase and a set of cross-cutting requirements that run for the full program under a single accountable prime contractor.</t>
  </si>
  <si>
    <t xml:space="preserve">How to use this plan</t>
  </si>
  <si>
    <t xml:space="preserve">The 'Schedule' tab holds the work breakdown and timeline. Durations and start weeks (shown in blue / yellow) are planning ASSUMPTIONS — edit them and the End Week, phase totals, and the visual timeline logic follow. 'Milestones', 'Risks' and 'Cross-Cutting' tabs support governance and gate reviews.</t>
  </si>
  <si>
    <t xml:space="preserve">Phase roadmap at a glance</t>
  </si>
  <si>
    <t xml:space="preserve">Phase</t>
  </si>
  <si>
    <t xml:space="preserve">Focus</t>
  </si>
  <si>
    <t xml:space="preserve">Est. duration</t>
  </si>
  <si>
    <t xml:space="preserve">Timing (wk)</t>
  </si>
  <si>
    <t xml:space="preserve">Exit gate</t>
  </si>
  <si>
    <t xml:space="preserve">Mobilization</t>
  </si>
  <si>
    <t xml:space="preserve">Governance, charter, architecture vision, RACI</t>
  </si>
  <si>
    <t xml:space="preserve">4 wks</t>
  </si>
  <si>
    <t xml:space="preserve">1–4</t>
  </si>
  <si>
    <t xml:space="preserve">Charter approved</t>
  </si>
  <si>
    <t xml:space="preserve">1 · Data &amp; Workflow Backbone</t>
  </si>
  <si>
    <t xml:space="preserve">PLM single source of truth, PDM migration, open APIs</t>
  </si>
  <si>
    <t xml:space="preserve">16 wks</t>
  </si>
  <si>
    <t xml:space="preserve">5–20</t>
  </si>
  <si>
    <t xml:space="preserve">G1 Backbone</t>
  </si>
  <si>
    <t xml:space="preserve">2 · Tool Connectivity &amp; Pipelines</t>
  </si>
  <si>
    <t xml:space="preserve">CAD/P&amp;ID/sim/test integration, CAD→OpenUSD pipeline</t>
  </si>
  <si>
    <t xml:space="preserve">14 wks</t>
  </si>
  <si>
    <t xml:space="preserve">21–34</t>
  </si>
  <si>
    <t xml:space="preserve">G2 Connectivity</t>
  </si>
  <si>
    <t xml:space="preserve">3 · Workflow Automation</t>
  </si>
  <si>
    <t xml:space="preserve">Event-driven automation, ECRs, KPI dashboards, low-code</t>
  </si>
  <si>
    <t xml:space="preserve">12 wks</t>
  </si>
  <si>
    <t xml:space="preserve">35–46</t>
  </si>
  <si>
    <t xml:space="preserve">G3 Automation</t>
  </si>
  <si>
    <t xml:space="preserve">4 · Digital Twin (DSX SimReady)</t>
  </si>
  <si>
    <t xml:space="preserve">SimReady OpenUSD twin, FMI/FMU coupling, validation</t>
  </si>
  <si>
    <t xml:space="preserve">20 wks</t>
  </si>
  <si>
    <t xml:space="preserve">47–66</t>
  </si>
  <si>
    <t xml:space="preserve">G4 Twin / go-live</t>
  </si>
  <si>
    <t xml:space="preserve">≈66 wks total</t>
  </si>
  <si>
    <t xml:space="preserve">Planning assumptions</t>
  </si>
  <si>
    <t xml:space="preserve">• Timeline unit is the week; 1 'month' in the Gantt = 4 weeks. Week 1 = program start.</t>
  </si>
  <si>
    <t xml:space="preserve">• Durations are indicative order-of-magnitude estimates pending scope, team size, and vendor selection — adjust in the Schedule tab.</t>
  </si>
  <si>
    <t xml:space="preserve">• Phases are strictly sequential per the Executive Summary ('each phase must be completed before the next begins').</t>
  </si>
  <si>
    <t xml:space="preserve">• Cross-cutting requirements (security, governance, training, SLAs, etc.) run continuously for the whole program.</t>
  </si>
  <si>
    <t xml:space="preserve">• A single prime contractor is accountable end-to-end; role names in the Schedule tab are indicative.</t>
  </si>
  <si>
    <t xml:space="preserve">Work Breakdown &amp; Schedule</t>
  </si>
  <si>
    <t xml:space="preserve">Blue/yellow cells are editable planning inputs · End wk = Start + Dur − 1 · bars are 4-week months</t>
  </si>
  <si>
    <t xml:space="preserve">WBS</t>
  </si>
  <si>
    <t xml:space="preserve">Task / deliverable</t>
  </si>
  <si>
    <t xml:space="preserve">Owner (role)</t>
  </si>
  <si>
    <t xml:space="preserve">Depends on</t>
  </si>
  <si>
    <t xml:space="preserve">Start wk</t>
  </si>
  <si>
    <t xml:space="preserve">Dur (wk)</t>
  </si>
  <si>
    <t xml:space="preserve">End wk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</si>
  <si>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</si>
  <si>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</si>
  <si>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</si>
  <si>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</si>
  <si>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</si>
  <si>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</si>
  <si>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</si>
  <si>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</si>
  <si>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</si>
  <si>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</si>
  <si>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</si>
  <si>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</si>
  <si>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</si>
  <si>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</si>
  <si>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</si>
  <si>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</si>
  <si>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</si>
  <si>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  MOBILIZATION</t>
  </si>
  <si>
    <t xml:space="preserve">0.1</t>
  </si>
  <si>
    <t xml:space="preserve">Program kickoff &amp; governance setup</t>
  </si>
  <si>
    <t xml:space="preserve">Prime PM</t>
  </si>
  <si>
    <t xml:space="preserve">—</t>
  </si>
  <si>
    <t xml:space="preserve">0.2</t>
  </si>
  <si>
    <t xml:space="preserve">Prime onboarding, RACI &amp; SLAs baselined</t>
  </si>
  <si>
    <t xml:space="preserve">0.3</t>
  </si>
  <si>
    <t xml:space="preserve">Program charter &amp; requirements baseline</t>
  </si>
  <si>
    <t xml:space="preserve">Systems Eng</t>
  </si>
  <si>
    <t xml:space="preserve">0.4</t>
  </si>
  <si>
    <t xml:space="preserve">Solution architecture &amp; digital-thread design</t>
  </si>
  <si>
    <t xml:space="preserve">Solution Arch</t>
  </si>
  <si>
    <t xml:space="preserve">G0</t>
  </si>
  <si>
    <t xml:space="preserve">◆ Gate G0 — Charter &amp; architecture approved</t>
  </si>
  <si>
    <t xml:space="preserve">Steering</t>
  </si>
  <si>
    <t xml:space="preserve">◆</t>
  </si>
  <si>
    <t xml:space="preserve">  PHASE 1 · DATA &amp; WORKFLOW BACKBONE</t>
  </si>
  <si>
    <t xml:space="preserve">1.1</t>
  </si>
  <si>
    <t xml:space="preserve">PLM platform selection &amp; environment stand-up</t>
  </si>
  <si>
    <t xml:space="preserve">PLM Lead</t>
  </si>
  <si>
    <t xml:space="preserve">1.2</t>
  </si>
  <si>
    <t xml:space="preserve">Configure single source of truth / data model</t>
  </si>
  <si>
    <t xml:space="preserve">1.3</t>
  </si>
  <si>
    <t xml:space="preserve">Revision &amp; document control</t>
  </si>
  <si>
    <t xml:space="preserve">PLM Eng</t>
  </si>
  <si>
    <t xml:space="preserve">1.4</t>
  </si>
  <si>
    <t xml:space="preserve">BOM management</t>
  </si>
  <si>
    <t xml:space="preserve">1.5</t>
  </si>
  <si>
    <t xml:space="preserve">Requirements traceability</t>
  </si>
  <si>
    <t xml:space="preserve">1.6</t>
  </si>
  <si>
    <t xml:space="preserve">Change management workflows</t>
  </si>
  <si>
    <t xml:space="preserve">1.7</t>
  </si>
  <si>
    <t xml:space="preserve">SolidWorks PDM migration</t>
  </si>
  <si>
    <t xml:space="preserve">Data Migration</t>
  </si>
  <si>
    <t xml:space="preserve">1.8</t>
  </si>
  <si>
    <t xml:space="preserve">Enterprise search</t>
  </si>
  <si>
    <t xml:space="preserve">1.9</t>
  </si>
  <si>
    <t xml:space="preserve">Open API layer (REST)</t>
  </si>
  <si>
    <t xml:space="preserve">Integration Eng</t>
  </si>
  <si>
    <t xml:space="preserve">G1</t>
  </si>
  <si>
    <t xml:space="preserve">◆ Gate G1 — Backbone acceptance</t>
  </si>
  <si>
    <t xml:space="preserve">1.6,1.7,1.9</t>
  </si>
  <si>
    <t xml:space="preserve">  PHASE 2 · TOOL CONNECTIVITY &amp; DATA PIPELINES</t>
  </si>
  <si>
    <t xml:space="preserve">2.1</t>
  </si>
  <si>
    <t xml:space="preserve">SolidWorks integration</t>
  </si>
  <si>
    <t xml:space="preserve">2.2</t>
  </si>
  <si>
    <t xml:space="preserve">P&amp;ID tool integration</t>
  </si>
  <si>
    <t xml:space="preserve">2.3</t>
  </si>
  <si>
    <t xml:space="preserve">Simulation tool integration</t>
  </si>
  <si>
    <t xml:space="preserve">CAE Eng</t>
  </si>
  <si>
    <t xml:space="preserve">2.4</t>
  </si>
  <si>
    <t xml:space="preserve">Test-data ingestion</t>
  </si>
  <si>
    <t xml:space="preserve">Data Eng</t>
  </si>
  <si>
    <t xml:space="preserve">2.5</t>
  </si>
  <si>
    <t xml:space="preserve">CAD-to-OpenUSD conversion pipeline</t>
  </si>
  <si>
    <t xml:space="preserve">USD Pipeline Eng</t>
  </si>
  <si>
    <t xml:space="preserve">2.6</t>
  </si>
  <si>
    <t xml:space="preserve">Cross-tool data taxonomy</t>
  </si>
  <si>
    <t xml:space="preserve">Data Architect</t>
  </si>
  <si>
    <t xml:space="preserve">2.2,2.4</t>
  </si>
  <si>
    <t xml:space="preserve">G2</t>
  </si>
  <si>
    <t xml:space="preserve">◆ Gate G2 — Connectivity acceptance</t>
  </si>
  <si>
    <t xml:space="preserve">2.5,2.6</t>
  </si>
  <si>
    <t xml:space="preserve">  PHASE 3 · WORKFLOW AUTOMATION &amp; ORCHESTRATION</t>
  </si>
  <si>
    <t xml:space="preserve">3.1</t>
  </si>
  <si>
    <t xml:space="preserve">Event-driven automation engine</t>
  </si>
  <si>
    <t xml:space="preserve">Automation Eng</t>
  </si>
  <si>
    <t xml:space="preserve">3.2</t>
  </si>
  <si>
    <t xml:space="preserve">Auto task / ECR creation</t>
  </si>
  <si>
    <t xml:space="preserve">3.3</t>
  </si>
  <si>
    <t xml:space="preserve">Notifications &amp; escalations</t>
  </si>
  <si>
    <t xml:space="preserve">3.4</t>
  </si>
  <si>
    <t xml:space="preserve">KPI dashboards</t>
  </si>
  <si>
    <t xml:space="preserve">Analytics Eng</t>
  </si>
  <si>
    <t xml:space="preserve">3.5</t>
  </si>
  <si>
    <t xml:space="preserve">Low-code workflow authoring</t>
  </si>
  <si>
    <t xml:space="preserve">Automation Lead</t>
  </si>
  <si>
    <t xml:space="preserve">G3</t>
  </si>
  <si>
    <t xml:space="preserve">◆ Gate G3 — Automation acceptance</t>
  </si>
  <si>
    <t xml:space="preserve">3.4,3.5</t>
  </si>
  <si>
    <t xml:space="preserve">  PHASE 4 · DIGITAL TWIN (DSX SIMREADY)</t>
  </si>
  <si>
    <t xml:space="preserve">4.1</t>
  </si>
  <si>
    <t xml:space="preserve">SimReady OpenUSD asset build</t>
  </si>
  <si>
    <t xml:space="preserve">4.2</t>
  </si>
  <si>
    <t xml:space="preserve">Electrochemical model (FMU)</t>
  </si>
  <si>
    <t xml:space="preserve">Sim Modeler</t>
  </si>
  <si>
    <t xml:space="preserve">4.3</t>
  </si>
  <si>
    <t xml:space="preserve">Thermal model (FMU)</t>
  </si>
  <si>
    <t xml:space="preserve">4.4</t>
  </si>
  <si>
    <t xml:space="preserve">Hydraulic model (FMU)</t>
  </si>
  <si>
    <t xml:space="preserve">4.5</t>
  </si>
  <si>
    <t xml:space="preserve">Electrical model (FMU)</t>
  </si>
  <si>
    <t xml:space="preserve">4.6</t>
  </si>
  <si>
    <t xml:space="preserve">FMI/FMU co-simulation coupling</t>
  </si>
  <si>
    <t xml:space="preserve">Sim Integrator</t>
  </si>
  <si>
    <t xml:space="preserve">4.2,4.3,4.4,4.5</t>
  </si>
  <si>
    <t xml:space="preserve">4.7</t>
  </si>
  <si>
    <t xml:space="preserve">Omniverse/DSX integration &amp; scene</t>
  </si>
  <si>
    <t xml:space="preserve">4.1,4.6</t>
  </si>
  <si>
    <t xml:space="preserve">4.8</t>
  </si>
  <si>
    <t xml:space="preserve">Validation against test data</t>
  </si>
  <si>
    <t xml:space="preserve">V&amp;V Eng</t>
  </si>
  <si>
    <t xml:space="preserve">G4</t>
  </si>
  <si>
    <t xml:space="preserve">◆ Gate G4 — Twin acceptance / go-live ready</t>
  </si>
  <si>
    <t xml:space="preserve">Milestones &amp; Phase Gates</t>
  </si>
  <si>
    <t xml:space="preserve">Sequential gates — each must be passed before the next phase starts</t>
  </si>
  <si>
    <t xml:space="preserve">Gate</t>
  </si>
  <si>
    <t xml:space="preserve">Milestone</t>
  </si>
  <si>
    <t xml:space="preserve">Target week</t>
  </si>
  <si>
    <t xml:space="preserve">Entry criteria (must be complete)</t>
  </si>
  <si>
    <t xml:space="preserve">Approver</t>
  </si>
  <si>
    <t xml:space="preserve">Charter &amp; architecture approved</t>
  </si>
  <si>
    <t xml:space="preserve">Governance, RACI, SLAs, charter, requirements baseline, architecture vision</t>
  </si>
  <si>
    <t xml:space="preserve">Steering board</t>
  </si>
  <si>
    <t xml:space="preserve">Backbone acceptance</t>
  </si>
  <si>
    <t xml:space="preserve">PLM SSOT live; revision/BOM/traceability/change mgmt; PDM migration; search; open APIs</t>
  </si>
  <si>
    <t xml:space="preserve">Connectivity acceptance</t>
  </si>
  <si>
    <t xml:space="preserve">SolidWorks, P&amp;ID, sim &amp; test integrated; CAD→OpenUSD pipeline; data taxonomy</t>
  </si>
  <si>
    <t xml:space="preserve">Automation acceptance</t>
  </si>
  <si>
    <t xml:space="preserve">Event-driven automation, ECR creation, notifications/escalations, KPI dashboards, low-code authoring</t>
  </si>
  <si>
    <t xml:space="preserve">Digital twin / go-live readiness</t>
  </si>
  <si>
    <t xml:space="preserve">SimReady OpenUSD twin with coupled FMI/FMU models validated against test data</t>
  </si>
  <si>
    <t xml:space="preserve">Steering + Sponsor</t>
  </si>
  <si>
    <t xml:space="preserve">Risk Register</t>
  </si>
  <si>
    <t xml:space="preserve">Top program risks — review at every gate</t>
  </si>
  <si>
    <t xml:space="preserve">ID</t>
  </si>
  <si>
    <t xml:space="preserve">Risk</t>
  </si>
  <si>
    <t xml:space="preserve">Ph.</t>
  </si>
  <si>
    <t xml:space="preserve">Impact</t>
  </si>
  <si>
    <t xml:space="preserve">Likelihood</t>
  </si>
  <si>
    <t xml:space="preserve">Mitigation</t>
  </si>
  <si>
    <t xml:space="preserve">R1</t>
  </si>
  <si>
    <t xml:space="preserve">Sequential phasing means slippage in one phase pushes all downstream phases</t>
  </si>
  <si>
    <t xml:space="preserve">All</t>
  </si>
  <si>
    <t xml:space="preserve">High</t>
  </si>
  <si>
    <t xml:space="preserve">Medium</t>
  </si>
  <si>
    <t xml:space="preserve">Buffer at gates; run cross-cutting &amp; vendor selection early; track critical path weekly</t>
  </si>
  <si>
    <t xml:space="preserve">R2</t>
  </si>
  <si>
    <t xml:space="preserve">SolidWorks PDM migration data loss / mapping errors</t>
  </si>
  <si>
    <t xml:space="preserve">1</t>
  </si>
  <si>
    <t xml:space="preserve">Migration dry-runs, checksums, staged cutover, rollback plan</t>
  </si>
  <si>
    <t xml:space="preserve">R3</t>
  </si>
  <si>
    <t xml:space="preserve">CAD→OpenUSD conversion fidelity insufficient for SimReady</t>
  </si>
  <si>
    <t xml:space="preserve">2</t>
  </si>
  <si>
    <t xml:space="preserve">Early pipeline spikes; validate geometry/material fidelity against reference assets</t>
  </si>
  <si>
    <t xml:space="preserve">R4</t>
  </si>
  <si>
    <t xml:space="preserve">FMI/FMU co-simulation coupling unstable or non-convergent</t>
  </si>
  <si>
    <t xml:space="preserve">4</t>
  </si>
  <si>
    <t xml:space="preserve">Prototype coupling early; define solver tolerances; incremental model integration</t>
  </si>
  <si>
    <t xml:space="preserve">R5</t>
  </si>
  <si>
    <t xml:space="preserve">Twin fails validation against physical test data</t>
  </si>
  <si>
    <t xml:space="preserve">Define acceptance tolerances up front; secure test datasets before Phase 4</t>
  </si>
  <si>
    <t xml:space="preserve">R6</t>
  </si>
  <si>
    <t xml:space="preserve">Cross-tool taxonomy drift breaks the digital thread</t>
  </si>
  <si>
    <t xml:space="preserve">Governed data taxonomy with ownership; automated schema conformance checks</t>
  </si>
  <si>
    <t xml:space="preserve">R7</t>
  </si>
  <si>
    <t xml:space="preserve">Single-prime dependency / vendor capability gap</t>
  </si>
  <si>
    <t xml:space="preserve">Capability due diligence; key-personnel clauses; escalation &amp; SLA enforcement</t>
  </si>
  <si>
    <t xml:space="preserve">R8</t>
  </si>
  <si>
    <t xml:space="preserve">Security / data-ownership requirements retrofitted late</t>
  </si>
  <si>
    <t xml:space="preserve">Low</t>
  </si>
  <si>
    <t xml:space="preserve">Treat cross-cutting reqs as continuous; security review at each gate</t>
  </si>
  <si>
    <t xml:space="preserve">Cross-Cutting Requirements &amp; Key Technologies</t>
  </si>
  <si>
    <t xml:space="preserve">Continuous across all phases under a single accountable prime contractor</t>
  </si>
  <si>
    <t xml:space="preserve">Area</t>
  </si>
  <si>
    <t xml:space="preserve">Requirement</t>
  </si>
  <si>
    <t xml:space="preserve">Cadence</t>
  </si>
  <si>
    <t xml:space="preserve">Security</t>
  </si>
  <si>
    <t xml:space="preserve">Access control, data protection, secure APIs &amp; audit</t>
  </si>
  <si>
    <t xml:space="preserve">Security Lead</t>
  </si>
  <si>
    <t xml:space="preserve">Continuous / gate review</t>
  </si>
  <si>
    <t xml:space="preserve">Governance</t>
  </si>
  <si>
    <t xml:space="preserve">Decision rights, RACI, gate approvals, standards conformance</t>
  </si>
  <si>
    <t xml:space="preserve">Program Governance</t>
  </si>
  <si>
    <t xml:space="preserve">Scalability</t>
  </si>
  <si>
    <t xml:space="preserve">Architecture scales with data, users &amp; simulation load</t>
  </si>
  <si>
    <t xml:space="preserve">Design + gate review</t>
  </si>
  <si>
    <t xml:space="preserve">Interoperability</t>
  </si>
  <si>
    <t xml:space="preserve">Open standards across CAD, PLM, sim, USD</t>
  </si>
  <si>
    <t xml:space="preserve">Continuous</t>
  </si>
  <si>
    <t xml:space="preserve">Data ownership</t>
  </si>
  <si>
    <t xml:space="preserve">Clear ownership &amp; stewardship across the digital thread</t>
  </si>
  <si>
    <t xml:space="preserve">Documentation</t>
  </si>
  <si>
    <t xml:space="preserve">Living docs for architecture, pipelines &amp; workflows</t>
  </si>
  <si>
    <t xml:space="preserve">Tech Writer / Leads</t>
  </si>
  <si>
    <t xml:space="preserve">Per deliverable</t>
  </si>
  <si>
    <t xml:space="preserve">Training</t>
  </si>
  <si>
    <t xml:space="preserve">Role-based enablement for PLM, tools &amp; the twin</t>
  </si>
  <si>
    <t xml:space="preserve">Enablement Lead</t>
  </si>
  <si>
    <t xml:space="preserve">Per phase rollout</t>
  </si>
  <si>
    <t xml:space="preserve">Support SLAs</t>
  </si>
  <si>
    <t xml:space="preserve">Defined response/resolution SLAs with the prime</t>
  </si>
  <si>
    <t xml:space="preserve">Key technologies</t>
  </si>
  <si>
    <t xml:space="preserve">PLM backbone · OpenUSD · NVIDIA Omniverse/DSX · SimReady standards · FMI/FMU · REST APIs · CAD integrations · simulation data pipelines · workflow automation · digital-thread architecture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</si>
</sst>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A66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222222"/>
      </patternFill>
    </fill>
    <fill>
      <patternFill patternType="solid">
        <fgColor rgb="FF2E5E8C"/>
        <bgColor rgb="FF555F6B"/>
      </patternFill>
    </fill>
    <fill>
      <patternFill patternType="solid">
        <fgColor rgb="FF555F6B"/>
        <bgColor rgb="FF5A6672"/>
      </patternFill>
    </fill>
    <fill>
      <patternFill patternType="solid">
        <fgColor rgb="FFF2F6FB"/>
        <bgColor rgb="FFFFFFFF"/>
      </patternFill>
    </fill>
    <fill>
      <patternFill patternType="solid">
        <fgColor rgb="FF2E7D9A"/>
        <bgColor rgb="FF2E5E8C"/>
      </patternFill>
    </fill>
    <fill>
      <patternFill patternType="solid">
        <fgColor rgb="FFFFFFFF"/>
        <bgColor rgb="FFF2F6FB"/>
      </patternFill>
    </fill>
    <fill>
      <patternFill patternType="solid">
        <fgColor rgb="FF3E7C4F"/>
        <bgColor rgb="FF5A6672"/>
      </patternFill>
    </fill>
    <fill>
      <patternFill patternType="solid">
        <fgColor rgb="FF9A6A2E"/>
        <bgColor rgb="FF5A6672"/>
      </patternFill>
    </fill>
    <fill>
      <patternFill patternType="solid">
        <fgColor rgb="FF6E3E8C"/>
        <bgColor rgb="FF993366"/>
      </patternFill>
    </fill>
    <fill>
      <patternFill patternType="solid">
        <fgColor rgb="FFFFF2CC"/>
        <bgColor rgb="FFF2F6FB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0392B"/>
      </patternFill>
    </fill>
    <fill>
      <patternFill patternType="solid">
        <fgColor rgb="FFE67E2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DD6"/>
      </left>
      <right style="thin">
        <color rgb="FFC4CDD6"/>
      </right>
      <top style="thin">
        <color rgb="FFC4CDD6"/>
      </top>
      <bottom style="thin">
        <color rgb="FFC4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2E"/>
      <rgbColor rgb="FF800080"/>
      <rgbColor rgb="FF2E7D9A"/>
      <rgbColor rgb="FFC4CDD6"/>
      <rgbColor rgb="FF555F6B"/>
      <rgbColor rgb="FF9999FF"/>
      <rgbColor rgb="FF6E3E8C"/>
      <rgbColor rgb="FFFFF2CC"/>
      <rgbColor rgb="FFF2F6FB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A6672"/>
      <rgbColor rgb="FF969696"/>
      <rgbColor rgb="FF1F3A5F"/>
      <rgbColor rgb="FF3E7C4F"/>
      <rgbColor rgb="FF003300"/>
      <rgbColor rgb="FF333300"/>
      <rgbColor rgb="FFC0392B"/>
      <rgbColor rgb="FF993366"/>
      <rgbColor rgb="FF2E5E8C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8" hidden="false" customHeight="true" outlineLevel="0" collapsed="false">
      <c r="A7" s="3" t="s">
        <v>4</v>
      </c>
      <c r="B7" s="3"/>
      <c r="C7" s="3"/>
      <c r="D7" s="3"/>
      <c r="E7" s="3"/>
      <c r="F7" s="3"/>
    </row>
    <row r="8" customFormat="false" ht="48" hidden="false" customHeight="true" outlineLevel="0" collapsed="false">
      <c r="A8" s="4" t="s">
        <v>5</v>
      </c>
      <c r="B8" s="4"/>
      <c r="C8" s="4"/>
      <c r="D8" s="4"/>
      <c r="E8" s="4"/>
      <c r="F8" s="4"/>
    </row>
    <row r="10" customFormat="false" ht="18" hidden="false" customHeight="true" outlineLevel="0" collapsed="false">
      <c r="A10" s="3" t="s">
        <v>6</v>
      </c>
      <c r="B10" s="3"/>
      <c r="C10" s="3"/>
      <c r="D10" s="3"/>
      <c r="E10" s="3"/>
      <c r="F10" s="3"/>
    </row>
    <row r="11" customFormat="false" ht="48" hidden="false" customHeight="true" outlineLevel="0" collapsed="false">
      <c r="A11" s="4" t="s">
        <v>7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5" t="s">
        <v>8</v>
      </c>
    </row>
    <row r="14" customFormat="false" ht="30" hidden="false" customHeight="true" outlineLevel="0" collapsed="false">
      <c r="A14" s="6" t="s">
        <v>9</v>
      </c>
      <c r="B14" s="6" t="s">
        <v>10</v>
      </c>
      <c r="C14" s="6" t="s">
        <v>11</v>
      </c>
      <c r="D14" s="6" t="s">
        <v>12</v>
      </c>
      <c r="E14" s="6" t="s">
        <v>13</v>
      </c>
    </row>
    <row r="15" customFormat="false" ht="30" hidden="false" customHeight="true" outlineLevel="0" collapsed="false">
      <c r="A15" s="7" t="s">
        <v>14</v>
      </c>
      <c r="B15" s="8" t="s">
        <v>15</v>
      </c>
      <c r="C15" s="9" t="s">
        <v>16</v>
      </c>
      <c r="D15" s="9" t="s">
        <v>17</v>
      </c>
      <c r="E15" s="9" t="s">
        <v>18</v>
      </c>
    </row>
    <row r="16" customFormat="false" ht="30" hidden="false" customHeight="true" outlineLevel="0" collapsed="false">
      <c r="A16" s="10" t="s">
        <v>19</v>
      </c>
      <c r="B16" s="11" t="s">
        <v>20</v>
      </c>
      <c r="C16" s="12" t="s">
        <v>21</v>
      </c>
      <c r="D16" s="12" t="s">
        <v>22</v>
      </c>
      <c r="E16" s="12" t="s">
        <v>23</v>
      </c>
    </row>
    <row r="17" customFormat="false" ht="30" hidden="false" customHeight="true" outlineLevel="0" collapsed="false">
      <c r="A17" s="13" t="s">
        <v>24</v>
      </c>
      <c r="B17" s="8" t="s">
        <v>25</v>
      </c>
      <c r="C17" s="9" t="s">
        <v>26</v>
      </c>
      <c r="D17" s="9" t="s">
        <v>27</v>
      </c>
      <c r="E17" s="9" t="s">
        <v>28</v>
      </c>
    </row>
    <row r="18" customFormat="false" ht="30" hidden="false" customHeight="true" outlineLevel="0" collapsed="false">
      <c r="A18" s="14" t="s">
        <v>29</v>
      </c>
      <c r="B18" s="11" t="s">
        <v>30</v>
      </c>
      <c r="C18" s="12" t="s">
        <v>31</v>
      </c>
      <c r="D18" s="12" t="s">
        <v>32</v>
      </c>
      <c r="E18" s="12" t="s">
        <v>33</v>
      </c>
    </row>
    <row r="19" customFormat="false" ht="30" hidden="false" customHeight="true" outlineLevel="0" collapsed="false">
      <c r="A19" s="15" t="s">
        <v>34</v>
      </c>
      <c r="B19" s="8" t="s">
        <v>35</v>
      </c>
      <c r="C19" s="9" t="s">
        <v>36</v>
      </c>
      <c r="D19" s="9" t="s">
        <v>37</v>
      </c>
      <c r="E19" s="9" t="s">
        <v>38</v>
      </c>
    </row>
    <row r="20" customFormat="false" ht="15" hidden="false" customHeight="false" outlineLevel="0" collapsed="false">
      <c r="D20" s="16" t="s">
        <v>39</v>
      </c>
    </row>
    <row r="22" customFormat="false" ht="15" hidden="false" customHeight="false" outlineLevel="0" collapsed="false">
      <c r="A22" s="5" t="s">
        <v>40</v>
      </c>
    </row>
    <row r="23" customFormat="false" ht="15" hidden="false" customHeight="true" outlineLevel="0" collapsed="false">
      <c r="A23" s="17" t="s">
        <v>41</v>
      </c>
      <c r="B23" s="17"/>
      <c r="C23" s="17"/>
      <c r="D23" s="17"/>
      <c r="E23" s="17"/>
      <c r="F23" s="17"/>
    </row>
    <row r="24" customFormat="false" ht="15" hidden="false" customHeight="true" outlineLevel="0" collapsed="false">
      <c r="A24" s="17" t="s">
        <v>42</v>
      </c>
      <c r="B24" s="17"/>
      <c r="C24" s="17"/>
      <c r="D24" s="17"/>
      <c r="E24" s="17"/>
      <c r="F24" s="17"/>
    </row>
    <row r="25" customFormat="false" ht="15" hidden="false" customHeight="true" outlineLevel="0" collapsed="false">
      <c r="A25" s="17" t="s">
        <v>43</v>
      </c>
      <c r="B25" s="17"/>
      <c r="C25" s="17"/>
      <c r="D25" s="17"/>
      <c r="E25" s="17"/>
      <c r="F25" s="17"/>
    </row>
    <row r="26" customFormat="false" ht="15" hidden="false" customHeight="true" outlineLevel="0" collapsed="false">
      <c r="A26" s="17" t="s">
        <v>44</v>
      </c>
      <c r="B26" s="17"/>
      <c r="C26" s="17"/>
      <c r="D26" s="17"/>
      <c r="E26" s="17"/>
      <c r="F26" s="17"/>
    </row>
    <row r="27" customFormat="false" ht="15" hidden="false" customHeight="true" outlineLevel="0" collapsed="false">
      <c r="A27" s="17" t="s">
        <v>45</v>
      </c>
      <c r="B27" s="17"/>
      <c r="C27" s="17"/>
      <c r="D27" s="17"/>
      <c r="E27" s="17"/>
      <c r="F27" s="17"/>
    </row>
  </sheetData>
  <mergeCells count="13">
    <mergeCell ref="A1:F1"/>
    <mergeCell ref="A2:F2"/>
    <mergeCell ref="A4:F4"/>
    <mergeCell ref="A5:F5"/>
    <mergeCell ref="A7:F7"/>
    <mergeCell ref="A8:F8"/>
    <mergeCell ref="A10:F10"/>
    <mergeCell ref="A11:F11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24" min="8" style="0" width="3.61"/>
  </cols>
  <sheetData>
    <row r="1" customFormat="false" ht="33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5.5" hidden="false" customHeight="true" outlineLevel="0" collapsed="false">
      <c r="A3" s="18" t="s">
        <v>48</v>
      </c>
      <c r="B3" s="18" t="s">
        <v>49</v>
      </c>
      <c r="C3" s="18" t="s">
        <v>50</v>
      </c>
      <c r="D3" s="18" t="s">
        <v>51</v>
      </c>
      <c r="E3" s="18" t="s">
        <v>52</v>
      </c>
      <c r="F3" s="18" t="s">
        <v>53</v>
      </c>
      <c r="G3" s="18" t="s">
        <v>54</v>
      </c>
      <c r="H3" s="19" t="s">
        <v>55</v>
      </c>
      <c r="I3" s="19" t="s">
        <v>56</v>
      </c>
      <c r="J3" s="19" t="s">
        <v>57</v>
      </c>
      <c r="K3" s="19" t="s">
        <v>58</v>
      </c>
      <c r="L3" s="19" t="s">
        <v>59</v>
      </c>
      <c r="M3" s="19" t="s">
        <v>60</v>
      </c>
      <c r="N3" s="19" t="s">
        <v>61</v>
      </c>
      <c r="O3" s="19" t="s">
        <v>62</v>
      </c>
      <c r="P3" s="19" t="s">
        <v>63</v>
      </c>
      <c r="Q3" s="19" t="s">
        <v>64</v>
      </c>
      <c r="R3" s="19" t="s">
        <v>65</v>
      </c>
      <c r="S3" s="19" t="s">
        <v>66</v>
      </c>
      <c r="T3" s="19" t="s">
        <v>67</v>
      </c>
      <c r="U3" s="19" t="s">
        <v>68</v>
      </c>
      <c r="V3" s="19" t="s">
        <v>69</v>
      </c>
      <c r="W3" s="19" t="s">
        <v>70</v>
      </c>
      <c r="X3" s="19" t="s">
        <v>71</v>
      </c>
    </row>
    <row r="4" customFormat="false" ht="19.5" hidden="false" customHeight="true" outlineLevel="0" collapsed="false">
      <c r="A4" s="7" t="s">
        <v>72</v>
      </c>
      <c r="B4" s="7"/>
      <c r="C4" s="7"/>
      <c r="D4" s="7"/>
      <c r="E4" s="7"/>
      <c r="F4" s="7"/>
      <c r="G4" s="7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customFormat="false" ht="15.75" hidden="false" customHeight="true" outlineLevel="0" collapsed="false">
      <c r="A5" s="21" t="s">
        <v>73</v>
      </c>
      <c r="B5" s="22" t="s">
        <v>74</v>
      </c>
      <c r="C5" s="22" t="s">
        <v>75</v>
      </c>
      <c r="D5" s="23" t="s">
        <v>76</v>
      </c>
      <c r="E5" s="24" t="n">
        <v>1</v>
      </c>
      <c r="F5" s="24" t="n">
        <v>2</v>
      </c>
      <c r="G5" s="25" t="n">
        <f aca="false">E5+F5-1</f>
        <v>2</v>
      </c>
      <c r="H5" s="2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customFormat="false" ht="15.75" hidden="false" customHeight="true" outlineLevel="0" collapsed="false">
      <c r="A6" s="27" t="s">
        <v>77</v>
      </c>
      <c r="B6" s="28" t="s">
        <v>78</v>
      </c>
      <c r="C6" s="28" t="s">
        <v>75</v>
      </c>
      <c r="D6" s="29" t="s">
        <v>73</v>
      </c>
      <c r="E6" s="24" t="n">
        <v>1</v>
      </c>
      <c r="F6" s="24" t="n">
        <v>3</v>
      </c>
      <c r="G6" s="30" t="n">
        <f aca="false">E6+F6-1</f>
        <v>3</v>
      </c>
      <c r="H6" s="20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customFormat="false" ht="15.75" hidden="false" customHeight="true" outlineLevel="0" collapsed="false">
      <c r="A7" s="21" t="s">
        <v>79</v>
      </c>
      <c r="B7" s="22" t="s">
        <v>80</v>
      </c>
      <c r="C7" s="22" t="s">
        <v>81</v>
      </c>
      <c r="D7" s="23" t="s">
        <v>73</v>
      </c>
      <c r="E7" s="24" t="n">
        <v>2</v>
      </c>
      <c r="F7" s="24" t="n">
        <v>3</v>
      </c>
      <c r="G7" s="25" t="n">
        <f aca="false">E7+F7-1</f>
        <v>4</v>
      </c>
      <c r="H7" s="20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</row>
    <row r="8" customFormat="false" ht="15.75" hidden="false" customHeight="true" outlineLevel="0" collapsed="false">
      <c r="A8" s="27" t="s">
        <v>82</v>
      </c>
      <c r="B8" s="28" t="s">
        <v>83</v>
      </c>
      <c r="C8" s="28" t="s">
        <v>84</v>
      </c>
      <c r="D8" s="29" t="s">
        <v>79</v>
      </c>
      <c r="E8" s="24" t="n">
        <v>3</v>
      </c>
      <c r="F8" s="24" t="n">
        <v>2</v>
      </c>
      <c r="G8" s="30" t="n">
        <f aca="false">E8+F8-1</f>
        <v>4</v>
      </c>
      <c r="H8" s="2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customFormat="false" ht="15.75" hidden="false" customHeight="true" outlineLevel="0" collapsed="false">
      <c r="A9" s="32" t="s">
        <v>85</v>
      </c>
      <c r="B9" s="33" t="s">
        <v>86</v>
      </c>
      <c r="C9" s="22" t="s">
        <v>87</v>
      </c>
      <c r="D9" s="23" t="s">
        <v>82</v>
      </c>
      <c r="E9" s="24" t="n">
        <v>4</v>
      </c>
      <c r="F9" s="24" t="n">
        <v>1</v>
      </c>
      <c r="G9" s="25" t="n">
        <f aca="false">E9+F9-1</f>
        <v>4</v>
      </c>
      <c r="H9" s="34" t="s">
        <v>88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 customFormat="false" ht="19.5" hidden="false" customHeight="true" outlineLevel="0" collapsed="false">
      <c r="A10" s="10" t="s">
        <v>89</v>
      </c>
      <c r="B10" s="10"/>
      <c r="C10" s="10"/>
      <c r="D10" s="10"/>
      <c r="E10" s="10"/>
      <c r="F10" s="10"/>
      <c r="G10" s="10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customFormat="false" ht="15.75" hidden="false" customHeight="true" outlineLevel="0" collapsed="false">
      <c r="A11" s="21" t="s">
        <v>90</v>
      </c>
      <c r="B11" s="22" t="s">
        <v>91</v>
      </c>
      <c r="C11" s="22" t="s">
        <v>92</v>
      </c>
      <c r="D11" s="23" t="s">
        <v>85</v>
      </c>
      <c r="E11" s="24" t="n">
        <v>5</v>
      </c>
      <c r="F11" s="24" t="n">
        <v>3</v>
      </c>
      <c r="G11" s="25" t="n">
        <f aca="false">E11+F11-1</f>
        <v>7</v>
      </c>
      <c r="H11" s="26"/>
      <c r="I11" s="3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customFormat="false" ht="15.75" hidden="false" customHeight="true" outlineLevel="0" collapsed="false">
      <c r="A12" s="27" t="s">
        <v>93</v>
      </c>
      <c r="B12" s="28" t="s">
        <v>94</v>
      </c>
      <c r="C12" s="28" t="s">
        <v>92</v>
      </c>
      <c r="D12" s="29" t="s">
        <v>90</v>
      </c>
      <c r="E12" s="24" t="n">
        <v>8</v>
      </c>
      <c r="F12" s="24" t="n">
        <v>3</v>
      </c>
      <c r="G12" s="30" t="n">
        <f aca="false">E12+F12-1</f>
        <v>10</v>
      </c>
      <c r="H12" s="31"/>
      <c r="I12" s="35"/>
      <c r="J12" s="35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customFormat="false" ht="15.75" hidden="false" customHeight="true" outlineLevel="0" collapsed="false">
      <c r="A13" s="21" t="s">
        <v>95</v>
      </c>
      <c r="B13" s="22" t="s">
        <v>96</v>
      </c>
      <c r="C13" s="22" t="s">
        <v>97</v>
      </c>
      <c r="D13" s="23" t="s">
        <v>93</v>
      </c>
      <c r="E13" s="24" t="n">
        <v>10</v>
      </c>
      <c r="F13" s="24" t="n">
        <v>3</v>
      </c>
      <c r="G13" s="25" t="n">
        <f aca="false">E13+F13-1</f>
        <v>12</v>
      </c>
      <c r="H13" s="26"/>
      <c r="I13" s="26"/>
      <c r="J13" s="35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customFormat="false" ht="15.75" hidden="false" customHeight="true" outlineLevel="0" collapsed="false">
      <c r="A14" s="27" t="s">
        <v>98</v>
      </c>
      <c r="B14" s="28" t="s">
        <v>99</v>
      </c>
      <c r="C14" s="28" t="s">
        <v>97</v>
      </c>
      <c r="D14" s="29" t="s">
        <v>93</v>
      </c>
      <c r="E14" s="24" t="n">
        <v>10</v>
      </c>
      <c r="F14" s="24" t="n">
        <v>3</v>
      </c>
      <c r="G14" s="30" t="n">
        <f aca="false">E14+F14-1</f>
        <v>12</v>
      </c>
      <c r="H14" s="31"/>
      <c r="I14" s="31"/>
      <c r="J14" s="35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customFormat="false" ht="15.75" hidden="false" customHeight="true" outlineLevel="0" collapsed="false">
      <c r="A15" s="21" t="s">
        <v>100</v>
      </c>
      <c r="B15" s="22" t="s">
        <v>101</v>
      </c>
      <c r="C15" s="22" t="s">
        <v>81</v>
      </c>
      <c r="D15" s="23" t="s">
        <v>93</v>
      </c>
      <c r="E15" s="24" t="n">
        <v>11</v>
      </c>
      <c r="F15" s="24" t="n">
        <v>3</v>
      </c>
      <c r="G15" s="25" t="n">
        <f aca="false">E15+F15-1</f>
        <v>13</v>
      </c>
      <c r="H15" s="26"/>
      <c r="I15" s="26"/>
      <c r="J15" s="35"/>
      <c r="K15" s="3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customFormat="false" ht="15.75" hidden="false" customHeight="true" outlineLevel="0" collapsed="false">
      <c r="A16" s="27" t="s">
        <v>102</v>
      </c>
      <c r="B16" s="28" t="s">
        <v>103</v>
      </c>
      <c r="C16" s="28" t="s">
        <v>97</v>
      </c>
      <c r="D16" s="29" t="s">
        <v>95</v>
      </c>
      <c r="E16" s="24" t="n">
        <v>13</v>
      </c>
      <c r="F16" s="24" t="n">
        <v>3</v>
      </c>
      <c r="G16" s="30" t="n">
        <f aca="false">E16+F16-1</f>
        <v>15</v>
      </c>
      <c r="H16" s="31"/>
      <c r="I16" s="31"/>
      <c r="J16" s="31"/>
      <c r="K16" s="3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customFormat="false" ht="15.75" hidden="false" customHeight="true" outlineLevel="0" collapsed="false">
      <c r="A17" s="21" t="s">
        <v>104</v>
      </c>
      <c r="B17" s="22" t="s">
        <v>105</v>
      </c>
      <c r="C17" s="22" t="s">
        <v>106</v>
      </c>
      <c r="D17" s="23" t="s">
        <v>93</v>
      </c>
      <c r="E17" s="24" t="n">
        <v>12</v>
      </c>
      <c r="F17" s="24" t="n">
        <v>5</v>
      </c>
      <c r="G17" s="25" t="n">
        <f aca="false">E17+F17-1</f>
        <v>16</v>
      </c>
      <c r="H17" s="26"/>
      <c r="I17" s="26"/>
      <c r="J17" s="35"/>
      <c r="K17" s="3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customFormat="false" ht="15.75" hidden="false" customHeight="true" outlineLevel="0" collapsed="false">
      <c r="A18" s="27" t="s">
        <v>107</v>
      </c>
      <c r="B18" s="28" t="s">
        <v>108</v>
      </c>
      <c r="C18" s="28" t="s">
        <v>97</v>
      </c>
      <c r="D18" s="29" t="s">
        <v>93</v>
      </c>
      <c r="E18" s="24" t="n">
        <v>14</v>
      </c>
      <c r="F18" s="24" t="n">
        <v>3</v>
      </c>
      <c r="G18" s="30" t="n">
        <f aca="false">E18+F18-1</f>
        <v>16</v>
      </c>
      <c r="H18" s="31"/>
      <c r="I18" s="31"/>
      <c r="J18" s="31"/>
      <c r="K18" s="3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customFormat="false" ht="15.75" hidden="false" customHeight="true" outlineLevel="0" collapsed="false">
      <c r="A19" s="21" t="s">
        <v>109</v>
      </c>
      <c r="B19" s="22" t="s">
        <v>110</v>
      </c>
      <c r="C19" s="22" t="s">
        <v>111</v>
      </c>
      <c r="D19" s="23" t="s">
        <v>93</v>
      </c>
      <c r="E19" s="24" t="n">
        <v>15</v>
      </c>
      <c r="F19" s="24" t="n">
        <v>4</v>
      </c>
      <c r="G19" s="25" t="n">
        <f aca="false">E19+F19-1</f>
        <v>18</v>
      </c>
      <c r="H19" s="26"/>
      <c r="I19" s="26"/>
      <c r="J19" s="26"/>
      <c r="K19" s="35"/>
      <c r="L19" s="3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customFormat="false" ht="15.75" hidden="false" customHeight="true" outlineLevel="0" collapsed="false">
      <c r="A20" s="36" t="s">
        <v>112</v>
      </c>
      <c r="B20" s="37" t="s">
        <v>113</v>
      </c>
      <c r="C20" s="28" t="s">
        <v>87</v>
      </c>
      <c r="D20" s="29" t="s">
        <v>114</v>
      </c>
      <c r="E20" s="24" t="n">
        <v>20</v>
      </c>
      <c r="F20" s="24" t="n">
        <v>1</v>
      </c>
      <c r="G20" s="30" t="n">
        <f aca="false">E20+F20-1</f>
        <v>20</v>
      </c>
      <c r="H20" s="31"/>
      <c r="I20" s="31"/>
      <c r="J20" s="31"/>
      <c r="K20" s="31"/>
      <c r="L20" s="34" t="s">
        <v>88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customFormat="false" ht="19.5" hidden="false" customHeight="true" outlineLevel="0" collapsed="false">
      <c r="A21" s="13" t="s">
        <v>115</v>
      </c>
      <c r="B21" s="13"/>
      <c r="C21" s="13"/>
      <c r="D21" s="13"/>
      <c r="E21" s="13"/>
      <c r="F21" s="13"/>
      <c r="G21" s="13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customFormat="false" ht="15.75" hidden="false" customHeight="true" outlineLevel="0" collapsed="false">
      <c r="A22" s="27" t="s">
        <v>116</v>
      </c>
      <c r="B22" s="28" t="s">
        <v>117</v>
      </c>
      <c r="C22" s="28" t="s">
        <v>111</v>
      </c>
      <c r="D22" s="29" t="s">
        <v>112</v>
      </c>
      <c r="E22" s="24" t="n">
        <v>21</v>
      </c>
      <c r="F22" s="24" t="n">
        <v>3</v>
      </c>
      <c r="G22" s="30" t="n">
        <f aca="false">E22+F22-1</f>
        <v>23</v>
      </c>
      <c r="H22" s="31"/>
      <c r="I22" s="31"/>
      <c r="J22" s="31"/>
      <c r="K22" s="31"/>
      <c r="L22" s="31"/>
      <c r="M22" s="38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customFormat="false" ht="15.75" hidden="false" customHeight="true" outlineLevel="0" collapsed="false">
      <c r="A23" s="21" t="s">
        <v>118</v>
      </c>
      <c r="B23" s="22" t="s">
        <v>119</v>
      </c>
      <c r="C23" s="22" t="s">
        <v>111</v>
      </c>
      <c r="D23" s="23" t="s">
        <v>112</v>
      </c>
      <c r="E23" s="24" t="n">
        <v>21</v>
      </c>
      <c r="F23" s="24" t="n">
        <v>3</v>
      </c>
      <c r="G23" s="25" t="n">
        <f aca="false">E23+F23-1</f>
        <v>23</v>
      </c>
      <c r="H23" s="26"/>
      <c r="I23" s="26"/>
      <c r="J23" s="26"/>
      <c r="K23" s="26"/>
      <c r="L23" s="26"/>
      <c r="M23" s="3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customFormat="false" ht="15.75" hidden="false" customHeight="true" outlineLevel="0" collapsed="false">
      <c r="A24" s="27" t="s">
        <v>120</v>
      </c>
      <c r="B24" s="28" t="s">
        <v>121</v>
      </c>
      <c r="C24" s="28" t="s">
        <v>122</v>
      </c>
      <c r="D24" s="29" t="s">
        <v>112</v>
      </c>
      <c r="E24" s="24" t="n">
        <v>23</v>
      </c>
      <c r="F24" s="24" t="n">
        <v>4</v>
      </c>
      <c r="G24" s="30" t="n">
        <f aca="false">E24+F24-1</f>
        <v>26</v>
      </c>
      <c r="H24" s="31"/>
      <c r="I24" s="31"/>
      <c r="J24" s="31"/>
      <c r="K24" s="31"/>
      <c r="L24" s="31"/>
      <c r="M24" s="38"/>
      <c r="N24" s="38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customFormat="false" ht="15.75" hidden="false" customHeight="true" outlineLevel="0" collapsed="false">
      <c r="A25" s="21" t="s">
        <v>123</v>
      </c>
      <c r="B25" s="22" t="s">
        <v>124</v>
      </c>
      <c r="C25" s="22" t="s">
        <v>125</v>
      </c>
      <c r="D25" s="23" t="s">
        <v>112</v>
      </c>
      <c r="E25" s="24" t="n">
        <v>23</v>
      </c>
      <c r="F25" s="24" t="n">
        <v>3</v>
      </c>
      <c r="G25" s="25" t="n">
        <f aca="false">E25+F25-1</f>
        <v>25</v>
      </c>
      <c r="H25" s="26"/>
      <c r="I25" s="26"/>
      <c r="J25" s="26"/>
      <c r="K25" s="26"/>
      <c r="L25" s="26"/>
      <c r="M25" s="38"/>
      <c r="N25" s="38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customFormat="false" ht="15.75" hidden="false" customHeight="true" outlineLevel="0" collapsed="false">
      <c r="A26" s="27" t="s">
        <v>126</v>
      </c>
      <c r="B26" s="28" t="s">
        <v>127</v>
      </c>
      <c r="C26" s="28" t="s">
        <v>128</v>
      </c>
      <c r="D26" s="29" t="s">
        <v>116</v>
      </c>
      <c r="E26" s="24" t="n">
        <v>25</v>
      </c>
      <c r="F26" s="24" t="n">
        <v>6</v>
      </c>
      <c r="G26" s="30" t="n">
        <f aca="false">E26+F26-1</f>
        <v>30</v>
      </c>
      <c r="H26" s="31"/>
      <c r="I26" s="31"/>
      <c r="J26" s="31"/>
      <c r="K26" s="31"/>
      <c r="L26" s="31"/>
      <c r="M26" s="31"/>
      <c r="N26" s="38"/>
      <c r="O26" s="38"/>
      <c r="P26" s="31"/>
      <c r="Q26" s="31"/>
      <c r="R26" s="31"/>
      <c r="S26" s="31"/>
      <c r="T26" s="31"/>
      <c r="U26" s="31"/>
      <c r="V26" s="31"/>
      <c r="W26" s="31"/>
      <c r="X26" s="31"/>
    </row>
    <row r="27" customFormat="false" ht="15.75" hidden="false" customHeight="true" outlineLevel="0" collapsed="false">
      <c r="A27" s="21" t="s">
        <v>129</v>
      </c>
      <c r="B27" s="22" t="s">
        <v>130</v>
      </c>
      <c r="C27" s="22" t="s">
        <v>131</v>
      </c>
      <c r="D27" s="23" t="s">
        <v>132</v>
      </c>
      <c r="E27" s="24" t="n">
        <v>27</v>
      </c>
      <c r="F27" s="24" t="n">
        <v>5</v>
      </c>
      <c r="G27" s="25" t="n">
        <f aca="false">E27+F27-1</f>
        <v>31</v>
      </c>
      <c r="H27" s="26"/>
      <c r="I27" s="26"/>
      <c r="J27" s="26"/>
      <c r="K27" s="26"/>
      <c r="L27" s="26"/>
      <c r="M27" s="26"/>
      <c r="N27" s="38"/>
      <c r="O27" s="38"/>
      <c r="P27" s="26"/>
      <c r="Q27" s="26"/>
      <c r="R27" s="26"/>
      <c r="S27" s="26"/>
      <c r="T27" s="26"/>
      <c r="U27" s="26"/>
      <c r="V27" s="26"/>
      <c r="W27" s="26"/>
      <c r="X27" s="26"/>
    </row>
    <row r="28" customFormat="false" ht="15.75" hidden="false" customHeight="true" outlineLevel="0" collapsed="false">
      <c r="A28" s="36" t="s">
        <v>133</v>
      </c>
      <c r="B28" s="37" t="s">
        <v>134</v>
      </c>
      <c r="C28" s="28" t="s">
        <v>87</v>
      </c>
      <c r="D28" s="29" t="s">
        <v>135</v>
      </c>
      <c r="E28" s="24" t="n">
        <v>34</v>
      </c>
      <c r="F28" s="24" t="n">
        <v>1</v>
      </c>
      <c r="G28" s="30" t="n">
        <f aca="false">E28+F28-1</f>
        <v>34</v>
      </c>
      <c r="H28" s="31"/>
      <c r="I28" s="31"/>
      <c r="J28" s="31"/>
      <c r="K28" s="31"/>
      <c r="L28" s="31"/>
      <c r="M28" s="31"/>
      <c r="N28" s="31"/>
      <c r="O28" s="31"/>
      <c r="P28" s="34" t="s">
        <v>88</v>
      </c>
      <c r="Q28" s="31"/>
      <c r="R28" s="31"/>
      <c r="S28" s="31"/>
      <c r="T28" s="31"/>
      <c r="U28" s="31"/>
      <c r="V28" s="31"/>
      <c r="W28" s="31"/>
      <c r="X28" s="31"/>
    </row>
    <row r="29" customFormat="false" ht="19.5" hidden="false" customHeight="true" outlineLevel="0" collapsed="false">
      <c r="A29" s="14" t="s">
        <v>136</v>
      </c>
      <c r="B29" s="14"/>
      <c r="C29" s="14"/>
      <c r="D29" s="14"/>
      <c r="E29" s="14"/>
      <c r="F29" s="14"/>
      <c r="G29" s="14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customFormat="false" ht="15.75" hidden="false" customHeight="true" outlineLevel="0" collapsed="false">
      <c r="A30" s="27" t="s">
        <v>137</v>
      </c>
      <c r="B30" s="28" t="s">
        <v>138</v>
      </c>
      <c r="C30" s="28" t="s">
        <v>139</v>
      </c>
      <c r="D30" s="29" t="s">
        <v>133</v>
      </c>
      <c r="E30" s="24" t="n">
        <v>35</v>
      </c>
      <c r="F30" s="24" t="n">
        <v>4</v>
      </c>
      <c r="G30" s="30" t="n">
        <f aca="false">E30+F30-1</f>
        <v>38</v>
      </c>
      <c r="H30" s="31"/>
      <c r="I30" s="31"/>
      <c r="J30" s="31"/>
      <c r="K30" s="31"/>
      <c r="L30" s="31"/>
      <c r="M30" s="31"/>
      <c r="N30" s="31"/>
      <c r="O30" s="31"/>
      <c r="P30" s="39"/>
      <c r="Q30" s="39"/>
      <c r="R30" s="31"/>
      <c r="S30" s="31"/>
      <c r="T30" s="31"/>
      <c r="U30" s="31"/>
      <c r="V30" s="31"/>
      <c r="W30" s="31"/>
      <c r="X30" s="31"/>
    </row>
    <row r="31" customFormat="false" ht="15.75" hidden="false" customHeight="true" outlineLevel="0" collapsed="false">
      <c r="A31" s="21" t="s">
        <v>140</v>
      </c>
      <c r="B31" s="22" t="s">
        <v>141</v>
      </c>
      <c r="C31" s="22" t="s">
        <v>139</v>
      </c>
      <c r="D31" s="23" t="s">
        <v>137</v>
      </c>
      <c r="E31" s="24" t="n">
        <v>38</v>
      </c>
      <c r="F31" s="24" t="n">
        <v>3</v>
      </c>
      <c r="G31" s="25" t="n">
        <f aca="false">E31+F31-1</f>
        <v>40</v>
      </c>
      <c r="H31" s="26"/>
      <c r="I31" s="26"/>
      <c r="J31" s="26"/>
      <c r="K31" s="26"/>
      <c r="L31" s="26"/>
      <c r="M31" s="26"/>
      <c r="N31" s="26"/>
      <c r="O31" s="26"/>
      <c r="P31" s="26"/>
      <c r="Q31" s="39"/>
      <c r="R31" s="26"/>
      <c r="S31" s="26"/>
      <c r="T31" s="26"/>
      <c r="U31" s="26"/>
      <c r="V31" s="26"/>
      <c r="W31" s="26"/>
      <c r="X31" s="26"/>
    </row>
    <row r="32" customFormat="false" ht="15.75" hidden="false" customHeight="true" outlineLevel="0" collapsed="false">
      <c r="A32" s="27" t="s">
        <v>142</v>
      </c>
      <c r="B32" s="28" t="s">
        <v>143</v>
      </c>
      <c r="C32" s="28" t="s">
        <v>139</v>
      </c>
      <c r="D32" s="29" t="s">
        <v>137</v>
      </c>
      <c r="E32" s="24" t="n">
        <v>39</v>
      </c>
      <c r="F32" s="24" t="n">
        <v>3</v>
      </c>
      <c r="G32" s="30" t="n">
        <f aca="false">E32+F32-1</f>
        <v>41</v>
      </c>
      <c r="H32" s="31"/>
      <c r="I32" s="31"/>
      <c r="J32" s="31"/>
      <c r="K32" s="31"/>
      <c r="L32" s="31"/>
      <c r="M32" s="31"/>
      <c r="N32" s="31"/>
      <c r="O32" s="31"/>
      <c r="P32" s="31"/>
      <c r="Q32" s="39"/>
      <c r="R32" s="39"/>
      <c r="S32" s="31"/>
      <c r="T32" s="31"/>
      <c r="U32" s="31"/>
      <c r="V32" s="31"/>
      <c r="W32" s="31"/>
      <c r="X32" s="31"/>
    </row>
    <row r="33" customFormat="false" ht="15.75" hidden="false" customHeight="true" outlineLevel="0" collapsed="false">
      <c r="A33" s="21" t="s">
        <v>144</v>
      </c>
      <c r="B33" s="22" t="s">
        <v>145</v>
      </c>
      <c r="C33" s="22" t="s">
        <v>146</v>
      </c>
      <c r="D33" s="23" t="s">
        <v>137</v>
      </c>
      <c r="E33" s="24" t="n">
        <v>40</v>
      </c>
      <c r="F33" s="24" t="n">
        <v>4</v>
      </c>
      <c r="G33" s="25" t="n">
        <f aca="false">E33+F33-1</f>
        <v>43</v>
      </c>
      <c r="H33" s="26"/>
      <c r="I33" s="26"/>
      <c r="J33" s="26"/>
      <c r="K33" s="26"/>
      <c r="L33" s="26"/>
      <c r="M33" s="26"/>
      <c r="N33" s="26"/>
      <c r="O33" s="26"/>
      <c r="P33" s="26"/>
      <c r="Q33" s="39"/>
      <c r="R33" s="39"/>
      <c r="S33" s="26"/>
      <c r="T33" s="26"/>
      <c r="U33" s="26"/>
      <c r="V33" s="26"/>
      <c r="W33" s="26"/>
      <c r="X33" s="26"/>
    </row>
    <row r="34" customFormat="false" ht="15.75" hidden="false" customHeight="true" outlineLevel="0" collapsed="false">
      <c r="A34" s="27" t="s">
        <v>147</v>
      </c>
      <c r="B34" s="28" t="s">
        <v>148</v>
      </c>
      <c r="C34" s="28" t="s">
        <v>149</v>
      </c>
      <c r="D34" s="29" t="s">
        <v>140</v>
      </c>
      <c r="E34" s="24" t="n">
        <v>42</v>
      </c>
      <c r="F34" s="24" t="n">
        <v>4</v>
      </c>
      <c r="G34" s="30" t="n">
        <f aca="false">E34+F34-1</f>
        <v>45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9"/>
      <c r="S34" s="39"/>
      <c r="T34" s="31"/>
      <c r="U34" s="31"/>
      <c r="V34" s="31"/>
      <c r="W34" s="31"/>
      <c r="X34" s="31"/>
    </row>
    <row r="35" customFormat="false" ht="15.75" hidden="false" customHeight="true" outlineLevel="0" collapsed="false">
      <c r="A35" s="32" t="s">
        <v>150</v>
      </c>
      <c r="B35" s="33" t="s">
        <v>151</v>
      </c>
      <c r="C35" s="22" t="s">
        <v>87</v>
      </c>
      <c r="D35" s="23" t="s">
        <v>152</v>
      </c>
      <c r="E35" s="24" t="n">
        <v>46</v>
      </c>
      <c r="F35" s="24" t="n">
        <v>1</v>
      </c>
      <c r="G35" s="25" t="n">
        <f aca="false">E35+F35-1</f>
        <v>46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34" t="s">
        <v>88</v>
      </c>
      <c r="T35" s="26"/>
      <c r="U35" s="26"/>
      <c r="V35" s="26"/>
      <c r="W35" s="26"/>
      <c r="X35" s="26"/>
    </row>
    <row r="36" customFormat="false" ht="19.5" hidden="false" customHeight="true" outlineLevel="0" collapsed="false">
      <c r="A36" s="15" t="s">
        <v>153</v>
      </c>
      <c r="B36" s="15"/>
      <c r="C36" s="15"/>
      <c r="D36" s="15"/>
      <c r="E36" s="15"/>
      <c r="F36" s="15"/>
      <c r="G36" s="15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customFormat="false" ht="15.75" hidden="false" customHeight="true" outlineLevel="0" collapsed="false">
      <c r="A37" s="21" t="s">
        <v>154</v>
      </c>
      <c r="B37" s="22" t="s">
        <v>155</v>
      </c>
      <c r="C37" s="22" t="s">
        <v>128</v>
      </c>
      <c r="D37" s="23" t="s">
        <v>150</v>
      </c>
      <c r="E37" s="24" t="n">
        <v>47</v>
      </c>
      <c r="F37" s="24" t="n">
        <v>5</v>
      </c>
      <c r="G37" s="25" t="n">
        <f aca="false">E37+F37-1</f>
        <v>51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40"/>
      <c r="T37" s="40"/>
      <c r="U37" s="26"/>
      <c r="V37" s="26"/>
      <c r="W37" s="26"/>
      <c r="X37" s="26"/>
    </row>
    <row r="38" customFormat="false" ht="15.75" hidden="false" customHeight="true" outlineLevel="0" collapsed="false">
      <c r="A38" s="27" t="s">
        <v>156</v>
      </c>
      <c r="B38" s="28" t="s">
        <v>157</v>
      </c>
      <c r="C38" s="28" t="s">
        <v>158</v>
      </c>
      <c r="D38" s="29" t="s">
        <v>150</v>
      </c>
      <c r="E38" s="24" t="n">
        <v>47</v>
      </c>
      <c r="F38" s="24" t="n">
        <v>6</v>
      </c>
      <c r="G38" s="30" t="n">
        <f aca="false">E38+F38-1</f>
        <v>52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40"/>
      <c r="T38" s="40"/>
      <c r="U38" s="31"/>
      <c r="V38" s="31"/>
      <c r="W38" s="31"/>
      <c r="X38" s="31"/>
    </row>
    <row r="39" customFormat="false" ht="15.75" hidden="false" customHeight="true" outlineLevel="0" collapsed="false">
      <c r="A39" s="21" t="s">
        <v>159</v>
      </c>
      <c r="B39" s="22" t="s">
        <v>160</v>
      </c>
      <c r="C39" s="22" t="s">
        <v>158</v>
      </c>
      <c r="D39" s="23" t="s">
        <v>150</v>
      </c>
      <c r="E39" s="24" t="n">
        <v>49</v>
      </c>
      <c r="F39" s="24" t="n">
        <v>5</v>
      </c>
      <c r="G39" s="25" t="n">
        <f aca="false">E39+F39-1</f>
        <v>53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40"/>
      <c r="U39" s="40"/>
      <c r="V39" s="26"/>
      <c r="W39" s="26"/>
      <c r="X39" s="26"/>
    </row>
    <row r="40" customFormat="false" ht="15.75" hidden="false" customHeight="true" outlineLevel="0" collapsed="false">
      <c r="A40" s="27" t="s">
        <v>161</v>
      </c>
      <c r="B40" s="28" t="s">
        <v>162</v>
      </c>
      <c r="C40" s="28" t="s">
        <v>158</v>
      </c>
      <c r="D40" s="29" t="s">
        <v>150</v>
      </c>
      <c r="E40" s="24" t="n">
        <v>50</v>
      </c>
      <c r="F40" s="24" t="n">
        <v>5</v>
      </c>
      <c r="G40" s="30" t="n">
        <f aca="false">E40+F40-1</f>
        <v>54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40"/>
      <c r="U40" s="40"/>
      <c r="V40" s="31"/>
      <c r="W40" s="31"/>
      <c r="X40" s="31"/>
    </row>
    <row r="41" customFormat="false" ht="15.75" hidden="false" customHeight="true" outlineLevel="0" collapsed="false">
      <c r="A41" s="21" t="s">
        <v>163</v>
      </c>
      <c r="B41" s="22" t="s">
        <v>164</v>
      </c>
      <c r="C41" s="22" t="s">
        <v>158</v>
      </c>
      <c r="D41" s="23" t="s">
        <v>150</v>
      </c>
      <c r="E41" s="24" t="n">
        <v>51</v>
      </c>
      <c r="F41" s="24" t="n">
        <v>5</v>
      </c>
      <c r="G41" s="25" t="n">
        <f aca="false">E41+F41-1</f>
        <v>55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40"/>
      <c r="U41" s="40"/>
      <c r="V41" s="26"/>
      <c r="W41" s="26"/>
      <c r="X41" s="26"/>
    </row>
    <row r="42" customFormat="false" ht="15.75" hidden="false" customHeight="true" outlineLevel="0" collapsed="false">
      <c r="A42" s="27" t="s">
        <v>165</v>
      </c>
      <c r="B42" s="28" t="s">
        <v>166</v>
      </c>
      <c r="C42" s="28" t="s">
        <v>167</v>
      </c>
      <c r="D42" s="29" t="s">
        <v>168</v>
      </c>
      <c r="E42" s="24" t="n">
        <v>56</v>
      </c>
      <c r="F42" s="24" t="n">
        <v>4</v>
      </c>
      <c r="G42" s="30" t="n">
        <f aca="false">E42+F42-1</f>
        <v>59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40"/>
      <c r="V42" s="40"/>
      <c r="W42" s="31"/>
      <c r="X42" s="31"/>
    </row>
    <row r="43" customFormat="false" ht="15.75" hidden="false" customHeight="true" outlineLevel="0" collapsed="false">
      <c r="A43" s="21" t="s">
        <v>169</v>
      </c>
      <c r="B43" s="22" t="s">
        <v>170</v>
      </c>
      <c r="C43" s="22" t="s">
        <v>128</v>
      </c>
      <c r="D43" s="23" t="s">
        <v>171</v>
      </c>
      <c r="E43" s="24" t="n">
        <v>58</v>
      </c>
      <c r="F43" s="24" t="n">
        <v>4</v>
      </c>
      <c r="G43" s="25" t="n">
        <f aca="false">E43+F43-1</f>
        <v>61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40"/>
      <c r="W43" s="40"/>
      <c r="X43" s="26"/>
    </row>
    <row r="44" customFormat="false" ht="15.75" hidden="false" customHeight="true" outlineLevel="0" collapsed="false">
      <c r="A44" s="27" t="s">
        <v>172</v>
      </c>
      <c r="B44" s="28" t="s">
        <v>173</v>
      </c>
      <c r="C44" s="28" t="s">
        <v>174</v>
      </c>
      <c r="D44" s="29" t="s">
        <v>169</v>
      </c>
      <c r="E44" s="24" t="n">
        <v>61</v>
      </c>
      <c r="F44" s="24" t="n">
        <v>5</v>
      </c>
      <c r="G44" s="30" t="n">
        <f aca="false">E44+F44-1</f>
        <v>65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40"/>
      <c r="X44" s="40"/>
    </row>
    <row r="45" customFormat="false" ht="15.75" hidden="false" customHeight="true" outlineLevel="0" collapsed="false">
      <c r="A45" s="32" t="s">
        <v>175</v>
      </c>
      <c r="B45" s="33" t="s">
        <v>176</v>
      </c>
      <c r="C45" s="22" t="s">
        <v>87</v>
      </c>
      <c r="D45" s="23" t="s">
        <v>172</v>
      </c>
      <c r="E45" s="24" t="n">
        <v>66</v>
      </c>
      <c r="F45" s="24" t="n">
        <v>1</v>
      </c>
      <c r="G45" s="25" t="n">
        <f aca="false">E45+F45-1</f>
        <v>66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4" t="s">
        <v>88</v>
      </c>
    </row>
  </sheetData>
  <mergeCells count="7">
    <mergeCell ref="A1:X1"/>
    <mergeCell ref="A2:X2"/>
    <mergeCell ref="A4:G4"/>
    <mergeCell ref="A10:G10"/>
    <mergeCell ref="A21:G21"/>
    <mergeCell ref="A29:G29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16"/>
  </cols>
  <sheetData>
    <row r="1" customFormat="false" ht="33.75" hidden="false" customHeight="true" outlineLevel="0" collapsed="false">
      <c r="A1" s="1" t="s">
        <v>177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178</v>
      </c>
      <c r="B2" s="2"/>
      <c r="C2" s="2"/>
      <c r="D2" s="2"/>
      <c r="E2" s="2"/>
    </row>
    <row r="3" customFormat="false" ht="30" hidden="false" customHeight="true" outlineLevel="0" collapsed="false">
      <c r="A3" s="6" t="s">
        <v>179</v>
      </c>
      <c r="B3" s="6" t="s">
        <v>180</v>
      </c>
      <c r="C3" s="6" t="s">
        <v>181</v>
      </c>
      <c r="D3" s="6" t="s">
        <v>182</v>
      </c>
      <c r="E3" s="6" t="s">
        <v>183</v>
      </c>
    </row>
    <row r="4" customFormat="false" ht="39.75" hidden="false" customHeight="true" outlineLevel="0" collapsed="false">
      <c r="A4" s="41" t="s">
        <v>85</v>
      </c>
      <c r="B4" s="42" t="s">
        <v>184</v>
      </c>
      <c r="C4" s="12" t="n">
        <v>4</v>
      </c>
      <c r="D4" s="11" t="s">
        <v>185</v>
      </c>
      <c r="E4" s="11" t="s">
        <v>186</v>
      </c>
    </row>
    <row r="5" customFormat="false" ht="39.75" hidden="false" customHeight="true" outlineLevel="0" collapsed="false">
      <c r="A5" s="41" t="s">
        <v>112</v>
      </c>
      <c r="B5" s="43" t="s">
        <v>187</v>
      </c>
      <c r="C5" s="9" t="n">
        <v>20</v>
      </c>
      <c r="D5" s="8" t="s">
        <v>188</v>
      </c>
      <c r="E5" s="8" t="s">
        <v>186</v>
      </c>
    </row>
    <row r="6" customFormat="false" ht="39.75" hidden="false" customHeight="true" outlineLevel="0" collapsed="false">
      <c r="A6" s="41" t="s">
        <v>133</v>
      </c>
      <c r="B6" s="42" t="s">
        <v>189</v>
      </c>
      <c r="C6" s="12" t="n">
        <v>34</v>
      </c>
      <c r="D6" s="11" t="s">
        <v>190</v>
      </c>
      <c r="E6" s="11" t="s">
        <v>186</v>
      </c>
    </row>
    <row r="7" customFormat="false" ht="39.75" hidden="false" customHeight="true" outlineLevel="0" collapsed="false">
      <c r="A7" s="41" t="s">
        <v>150</v>
      </c>
      <c r="B7" s="43" t="s">
        <v>191</v>
      </c>
      <c r="C7" s="9" t="n">
        <v>46</v>
      </c>
      <c r="D7" s="8" t="s">
        <v>192</v>
      </c>
      <c r="E7" s="8" t="s">
        <v>186</v>
      </c>
    </row>
    <row r="8" customFormat="false" ht="39.75" hidden="false" customHeight="true" outlineLevel="0" collapsed="false">
      <c r="A8" s="41" t="s">
        <v>175</v>
      </c>
      <c r="B8" s="42" t="s">
        <v>193</v>
      </c>
      <c r="C8" s="12" t="n">
        <v>66</v>
      </c>
      <c r="D8" s="11" t="s">
        <v>194</v>
      </c>
      <c r="E8" s="11" t="s">
        <v>195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33.75" hidden="false" customHeight="true" outlineLevel="0" collapsed="false">
      <c r="A1" s="1" t="s">
        <v>196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197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6" t="s">
        <v>198</v>
      </c>
      <c r="B3" s="6" t="s">
        <v>199</v>
      </c>
      <c r="C3" s="6" t="s">
        <v>200</v>
      </c>
      <c r="D3" s="6" t="s">
        <v>201</v>
      </c>
      <c r="E3" s="6" t="s">
        <v>202</v>
      </c>
      <c r="F3" s="6" t="s">
        <v>203</v>
      </c>
    </row>
    <row r="4" customFormat="false" ht="33.75" hidden="false" customHeight="true" outlineLevel="0" collapsed="false">
      <c r="A4" s="44" t="s">
        <v>204</v>
      </c>
      <c r="B4" s="11" t="s">
        <v>205</v>
      </c>
      <c r="C4" s="12" t="s">
        <v>206</v>
      </c>
      <c r="D4" s="45" t="s">
        <v>207</v>
      </c>
      <c r="E4" s="12" t="s">
        <v>208</v>
      </c>
      <c r="F4" s="11" t="s">
        <v>209</v>
      </c>
    </row>
    <row r="5" customFormat="false" ht="33.75" hidden="false" customHeight="true" outlineLevel="0" collapsed="false">
      <c r="A5" s="44" t="s">
        <v>210</v>
      </c>
      <c r="B5" s="8" t="s">
        <v>211</v>
      </c>
      <c r="C5" s="9" t="s">
        <v>212</v>
      </c>
      <c r="D5" s="45" t="s">
        <v>207</v>
      </c>
      <c r="E5" s="9" t="s">
        <v>208</v>
      </c>
      <c r="F5" s="8" t="s">
        <v>213</v>
      </c>
    </row>
    <row r="6" customFormat="false" ht="33.75" hidden="false" customHeight="true" outlineLevel="0" collapsed="false">
      <c r="A6" s="44" t="s">
        <v>214</v>
      </c>
      <c r="B6" s="11" t="s">
        <v>215</v>
      </c>
      <c r="C6" s="12" t="s">
        <v>216</v>
      </c>
      <c r="D6" s="45" t="s">
        <v>207</v>
      </c>
      <c r="E6" s="12" t="s">
        <v>208</v>
      </c>
      <c r="F6" s="11" t="s">
        <v>217</v>
      </c>
    </row>
    <row r="7" customFormat="false" ht="33.75" hidden="false" customHeight="true" outlineLevel="0" collapsed="false">
      <c r="A7" s="44" t="s">
        <v>218</v>
      </c>
      <c r="B7" s="8" t="s">
        <v>219</v>
      </c>
      <c r="C7" s="9" t="s">
        <v>220</v>
      </c>
      <c r="D7" s="45" t="s">
        <v>207</v>
      </c>
      <c r="E7" s="9" t="s">
        <v>208</v>
      </c>
      <c r="F7" s="8" t="s">
        <v>221</v>
      </c>
    </row>
    <row r="8" customFormat="false" ht="33.75" hidden="false" customHeight="true" outlineLevel="0" collapsed="false">
      <c r="A8" s="44" t="s">
        <v>222</v>
      </c>
      <c r="B8" s="11" t="s">
        <v>223</v>
      </c>
      <c r="C8" s="12" t="s">
        <v>220</v>
      </c>
      <c r="D8" s="45" t="s">
        <v>207</v>
      </c>
      <c r="E8" s="12" t="s">
        <v>208</v>
      </c>
      <c r="F8" s="11" t="s">
        <v>224</v>
      </c>
    </row>
    <row r="9" customFormat="false" ht="33.75" hidden="false" customHeight="true" outlineLevel="0" collapsed="false">
      <c r="A9" s="44" t="s">
        <v>225</v>
      </c>
      <c r="B9" s="8" t="s">
        <v>226</v>
      </c>
      <c r="C9" s="9" t="s">
        <v>216</v>
      </c>
      <c r="D9" s="46" t="s">
        <v>208</v>
      </c>
      <c r="E9" s="9" t="s">
        <v>208</v>
      </c>
      <c r="F9" s="8" t="s">
        <v>227</v>
      </c>
    </row>
    <row r="10" customFormat="false" ht="33.75" hidden="false" customHeight="true" outlineLevel="0" collapsed="false">
      <c r="A10" s="44" t="s">
        <v>228</v>
      </c>
      <c r="B10" s="11" t="s">
        <v>229</v>
      </c>
      <c r="C10" s="12" t="s">
        <v>206</v>
      </c>
      <c r="D10" s="46" t="s">
        <v>208</v>
      </c>
      <c r="E10" s="12" t="s">
        <v>208</v>
      </c>
      <c r="F10" s="11" t="s">
        <v>230</v>
      </c>
    </row>
    <row r="11" customFormat="false" ht="33.75" hidden="false" customHeight="true" outlineLevel="0" collapsed="false">
      <c r="A11" s="44" t="s">
        <v>231</v>
      </c>
      <c r="B11" s="8" t="s">
        <v>232</v>
      </c>
      <c r="C11" s="9" t="s">
        <v>206</v>
      </c>
      <c r="D11" s="46" t="s">
        <v>208</v>
      </c>
      <c r="E11" s="9" t="s">
        <v>233</v>
      </c>
      <c r="F11" s="8" t="s">
        <v>234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235</v>
      </c>
      <c r="B1" s="1"/>
      <c r="C1" s="1"/>
      <c r="D1" s="1"/>
    </row>
    <row r="2" customFormat="false" ht="19.5" hidden="false" customHeight="true" outlineLevel="0" collapsed="false">
      <c r="A2" s="2" t="s">
        <v>236</v>
      </c>
      <c r="B2" s="2"/>
      <c r="C2" s="2"/>
      <c r="D2" s="2"/>
    </row>
    <row r="3" customFormat="false" ht="30" hidden="false" customHeight="true" outlineLevel="0" collapsed="false">
      <c r="A3" s="6" t="s">
        <v>237</v>
      </c>
      <c r="B3" s="6" t="s">
        <v>238</v>
      </c>
      <c r="C3" s="6" t="s">
        <v>50</v>
      </c>
      <c r="D3" s="6" t="s">
        <v>239</v>
      </c>
    </row>
    <row r="4" customFormat="false" ht="30" hidden="false" customHeight="true" outlineLevel="0" collapsed="false">
      <c r="A4" s="47" t="s">
        <v>240</v>
      </c>
      <c r="B4" s="11" t="s">
        <v>241</v>
      </c>
      <c r="C4" s="11" t="s">
        <v>242</v>
      </c>
      <c r="D4" s="11" t="s">
        <v>243</v>
      </c>
    </row>
    <row r="5" customFormat="false" ht="30" hidden="false" customHeight="true" outlineLevel="0" collapsed="false">
      <c r="A5" s="47" t="s">
        <v>244</v>
      </c>
      <c r="B5" s="8" t="s">
        <v>245</v>
      </c>
      <c r="C5" s="8" t="s">
        <v>246</v>
      </c>
      <c r="D5" s="8" t="s">
        <v>243</v>
      </c>
    </row>
    <row r="6" customFormat="false" ht="30" hidden="false" customHeight="true" outlineLevel="0" collapsed="false">
      <c r="A6" s="47" t="s">
        <v>247</v>
      </c>
      <c r="B6" s="11" t="s">
        <v>248</v>
      </c>
      <c r="C6" s="11" t="s">
        <v>84</v>
      </c>
      <c r="D6" s="11" t="s">
        <v>249</v>
      </c>
    </row>
    <row r="7" customFormat="false" ht="30" hidden="false" customHeight="true" outlineLevel="0" collapsed="false">
      <c r="A7" s="47" t="s">
        <v>250</v>
      </c>
      <c r="B7" s="8" t="s">
        <v>251</v>
      </c>
      <c r="C7" s="8" t="s">
        <v>84</v>
      </c>
      <c r="D7" s="8" t="s">
        <v>252</v>
      </c>
    </row>
    <row r="8" customFormat="false" ht="30" hidden="false" customHeight="true" outlineLevel="0" collapsed="false">
      <c r="A8" s="47" t="s">
        <v>253</v>
      </c>
      <c r="B8" s="11" t="s">
        <v>254</v>
      </c>
      <c r="C8" s="11" t="s">
        <v>131</v>
      </c>
      <c r="D8" s="11" t="s">
        <v>252</v>
      </c>
    </row>
    <row r="9" customFormat="false" ht="30" hidden="false" customHeight="true" outlineLevel="0" collapsed="false">
      <c r="A9" s="47" t="s">
        <v>255</v>
      </c>
      <c r="B9" s="8" t="s">
        <v>256</v>
      </c>
      <c r="C9" s="8" t="s">
        <v>257</v>
      </c>
      <c r="D9" s="8" t="s">
        <v>258</v>
      </c>
    </row>
    <row r="10" customFormat="false" ht="30" hidden="false" customHeight="true" outlineLevel="0" collapsed="false">
      <c r="A10" s="47" t="s">
        <v>259</v>
      </c>
      <c r="B10" s="11" t="s">
        <v>260</v>
      </c>
      <c r="C10" s="11" t="s">
        <v>261</v>
      </c>
      <c r="D10" s="11" t="s">
        <v>262</v>
      </c>
    </row>
    <row r="11" customFormat="false" ht="30" hidden="false" customHeight="true" outlineLevel="0" collapsed="false">
      <c r="A11" s="47" t="s">
        <v>263</v>
      </c>
      <c r="B11" s="8" t="s">
        <v>264</v>
      </c>
      <c r="C11" s="8" t="s">
        <v>75</v>
      </c>
      <c r="D11" s="8" t="s">
        <v>252</v>
      </c>
    </row>
    <row r="13" customFormat="false" ht="15" hidden="false" customHeight="false" outlineLevel="0" collapsed="false">
      <c r="A13" s="5" t="s">
        <v>265</v>
      </c>
    </row>
    <row r="14" customFormat="false" ht="43.5" hidden="false" customHeight="true" outlineLevel="0" collapsed="false">
      <c r="A14" s="4" t="s">
        <v>266</v>
      </c>
      <c r="B14" s="4"/>
      <c r="C14" s="4"/>
      <c r="D14" s="4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2026-07-03T03:50:19Z</dcterms:created>
  <dc:creator>openpyxl</dc:creator>
  <dc:description/>
  <dc:language>en-US</dc:language>
  <cp:lastModifiedBy/>
  <dcterms:modified xsi:type="dcterms:W3CDTF">2026-07-03T03:50:19Z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